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.roque\Desktop\Total_Day\data\"/>
    </mc:Choice>
  </mc:AlternateContent>
  <xr:revisionPtr revIDLastSave="0" documentId="13_ncr:1_{05215801-2957-44D9-B63D-E3BF7E95C63E}" xr6:coauthVersionLast="47" xr6:coauthVersionMax="47" xr10:uidLastSave="{00000000-0000-0000-0000-000000000000}"/>
  <bookViews>
    <workbookView xWindow="-108" yWindow="-108" windowWidth="23256" windowHeight="14016" xr2:uid="{669ECB6C-83CF-4053-B745-2A03E06ED1EB}"/>
  </bookViews>
  <sheets>
    <sheet name="Planilha1" sheetId="4" r:id="rId1"/>
    <sheet name="Peso Original x Ajustado" sheetId="2" state="hidden" r:id="rId2"/>
  </sheets>
  <definedNames>
    <definedName name="_xlnm._FilterDatabase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1" i="2" l="1"/>
  <c r="N41" i="2"/>
  <c r="M41" i="2"/>
  <c r="L41" i="2"/>
  <c r="K41" i="2"/>
  <c r="J41" i="2"/>
  <c r="I41" i="2"/>
  <c r="H41" i="2"/>
  <c r="G41" i="2"/>
  <c r="F41" i="2"/>
  <c r="E41" i="2"/>
  <c r="D41" i="2"/>
  <c r="C41" i="2"/>
</calcChain>
</file>

<file path=xl/sharedStrings.xml><?xml version="1.0" encoding="utf-8"?>
<sst xmlns="http://schemas.openxmlformats.org/spreadsheetml/2006/main" count="285" uniqueCount="96">
  <si>
    <t>Linhas somam a meta do fornecedor · colunas somam a meta da filial · ponto de partida = peso do faturamento por filial (aba META FILIAIS FORNECEDORES), ajustado proporcionalmente (método RAS).</t>
  </si>
  <si>
    <t>Grupo</t>
  </si>
  <si>
    <t>Fornecedor</t>
  </si>
  <si>
    <t>Meta fornecedor</t>
  </si>
  <si>
    <t>FARMA</t>
  </si>
  <si>
    <t>30791 - LABORATORIO TEUTO BRASILEIRO S/A</t>
  </si>
  <si>
    <t>31267 - MEDQUIMICA IND FARMACEUTICA S.</t>
  </si>
  <si>
    <t>31305 - LABORATORIO GLOBO LTDA</t>
  </si>
  <si>
    <t>33057 - NATULAB LABORATORIO LTDA</t>
  </si>
  <si>
    <t>33286 - MULTILAB IND E COM DE PROD FARMAC LTDA (MARCAS)</t>
  </si>
  <si>
    <t>33928 - GEOLAB IND FARMACEUTICA S/A</t>
  </si>
  <si>
    <t>47252 - HYPERA S.A</t>
  </si>
  <si>
    <t>789228 - SANDOZ DO BRASI  IND. FARMAC LTDA (SP)</t>
  </si>
  <si>
    <t>789423 - KLEY HERTZ DISTRIBUIDORA LTDA</t>
  </si>
  <si>
    <t>789429 - PRATI DONADUZZI &amp; CIA LTDA - PR</t>
  </si>
  <si>
    <t>789525 - ACHE LABORATORIOS FARMACEUTICOS S/A</t>
  </si>
  <si>
    <t>789662 - SANOFI MEDLEY FARMACEUTICA LTDA</t>
  </si>
  <si>
    <t>793186 - ACCUMED PRODUTOS MEDICO HOSPITALARES LTDA</t>
  </si>
  <si>
    <t>793718 - BIOLAB FARMA GENERICOS LTDA</t>
  </si>
  <si>
    <t>794365 - LABOFARMA PRODUTOS FARMACEUTICOS LTDA</t>
  </si>
  <si>
    <t>794468 - CELLERA CONSUMO LTDA (ES)</t>
  </si>
  <si>
    <t>OUTROS</t>
  </si>
  <si>
    <t>HB</t>
  </si>
  <si>
    <t>139553 - DINNO/PLENTY - CCM IND E COM DE PROD DESCART S/A</t>
  </si>
  <si>
    <t>30083 - LOLLY BABY PRODUTOS INFANTIS L</t>
  </si>
  <si>
    <t>30105 - ALYNE - CIGEL DISTRIBUIDORA DE COSMETI</t>
  </si>
  <si>
    <t>30307 - CCM IND E COM DE PROD DESCARTAVEIS S/A</t>
  </si>
  <si>
    <t>77800 - ESSITY DO BRASIL INDUSTRIA E COMERCIO LTDA</t>
  </si>
  <si>
    <t>789112 - MILI SA</t>
  </si>
  <si>
    <t>789603 - SOFTYS BRASIL LTDA</t>
  </si>
  <si>
    <t>790595 - SC JOHNSON LTDA</t>
  </si>
  <si>
    <t>792121 - GIOVANNA BABY - PRO NOVA DIST E COM DE COSMETICOS LTDA</t>
  </si>
  <si>
    <t>792141 - GROWUP INDUSTRIA DE ALIMENTOS E NUTRACEUTICOS LTDA</t>
  </si>
  <si>
    <t>792205 - SANTHER FABRICA DE PAPEL SANTA THEREZINHA S/A</t>
  </si>
  <si>
    <t>794029 - WELLA BRASIL LTDA</t>
  </si>
  <si>
    <t>794223 - FALCON DISTRIBUICAO ARMAZENAMENTO E TRANSPORTES SA - ONTEX</t>
  </si>
  <si>
    <t>794319 - EUROFRAL PRODUTOS DE HIGIENE LTDA</t>
  </si>
  <si>
    <t>794671 - PRINCIPIA ES COMERCIO DE COSMETICOS LTDA</t>
  </si>
  <si>
    <t>795345 - DINNO BABY - DIST DE COSMET BY FATTORE LTDA - EPP</t>
  </si>
  <si>
    <t>796144 - BRACELL PAPEIS NORDESTE LTDA</t>
  </si>
  <si>
    <t>796582 - DRYLOCK TECHNOLOGIES BRASIL LTDA</t>
  </si>
  <si>
    <t>TOTAL</t>
  </si>
  <si>
    <t>PARTICIPAÇÃO POR FILIAL – peso histórico (jul–set) x peso ajustado</t>
  </si>
  <si>
    <t>CE 01 hist.</t>
  </si>
  <si>
    <t>CE 03 hist.</t>
  </si>
  <si>
    <t>PI (02/06) hist.</t>
  </si>
  <si>
    <t>MA (04/05) hist.</t>
  </si>
  <si>
    <t>BA hist.</t>
  </si>
  <si>
    <t>PE hist.</t>
  </si>
  <si>
    <t>CE 01 ajust.</t>
  </si>
  <si>
    <t>CE 03 ajust.</t>
  </si>
  <si>
    <t>PI (02/06) ajust.</t>
  </si>
  <si>
    <t>MA (04/05) ajust.</t>
  </si>
  <si>
    <t>BA ajust.</t>
  </si>
  <si>
    <t>PE ajust.</t>
  </si>
  <si>
    <t>FORNECEDOR</t>
  </si>
  <si>
    <t>GRUPO</t>
  </si>
  <si>
    <t>META</t>
  </si>
  <si>
    <t>PI</t>
  </si>
  <si>
    <t>MA</t>
  </si>
  <si>
    <t>COD_FILIAL</t>
  </si>
  <si>
    <t>DRYLOCK TECHNOLOGIES BRASIL LTDA</t>
  </si>
  <si>
    <t>BRACELL PAPEIS NORDESTE LTDA</t>
  </si>
  <si>
    <t>DINNO BABY - DIST DE COSMET BY FATTORE LTDA - EPP</t>
  </si>
  <si>
    <t>PRINCIPIA ES COMERCIO DE COSMETICOS LTDA</t>
  </si>
  <si>
    <t>CELLERA CONSUMO LTDA (ES)</t>
  </si>
  <si>
    <t>LABOFARMA PRODUTOS FARMACEUTICOS LTDA</t>
  </si>
  <si>
    <t>EUROFRAL PRODUTOS DE HIGIENE LTDA</t>
  </si>
  <si>
    <t>FALCON DISTRIBUICAO ARMAZENAMENTO E TRANSPORTES SA - ONTEX</t>
  </si>
  <si>
    <t>WELLA BRASIL LTDA</t>
  </si>
  <si>
    <t>BIOLAB FARMA GENERICOS LTDA</t>
  </si>
  <si>
    <t>ACCUMED PRODUTOS MEDICO HOSPITALARES LTDA</t>
  </si>
  <si>
    <t>SANTHER FABRICA DE PAPEL SANTA THEREZINHA S/A</t>
  </si>
  <si>
    <t>GROWUP INDUSTRIA DE ALIMENTOS E NUTRACEUTICOS LTDA</t>
  </si>
  <si>
    <t>GIOVANNA BABY - PRO NOVA DIST E COM DE COSMETICOS LTDA</t>
  </si>
  <si>
    <t>SC JOHNSON LTDA</t>
  </si>
  <si>
    <t>SANOFI MEDLEY FARMACEUTICA LTDA</t>
  </si>
  <si>
    <t>SOFTYS BRASIL LTDA</t>
  </si>
  <si>
    <t>ACHE LABORATORIOS FARMACEUTICOS S/A</t>
  </si>
  <si>
    <t>PRATI DONADUZZI &amp; CIA LTDA - PR</t>
  </si>
  <si>
    <t>KLEY HERTZ DISTRIBUIDORA LTDA</t>
  </si>
  <si>
    <t>SANDOZ DO BRASI  IND. FARMAC LTDA (SP)</t>
  </si>
  <si>
    <t>MILI SA</t>
  </si>
  <si>
    <t>DINNO/PLENTY - CCM IND E COM DE PROD DESCART S/A</t>
  </si>
  <si>
    <t>ESSITY DO BRASIL INDUSTRIA E COMERCIO LTDA</t>
  </si>
  <si>
    <t>HYPERA S.A</t>
  </si>
  <si>
    <t>GEOLAB IND FARMACEUTICA S/A</t>
  </si>
  <si>
    <t>MULTILAB IND E COM DE PROD FARMAC LTDA (MARCAS)</t>
  </si>
  <si>
    <t>NATULAB LABORATORIO LTDA</t>
  </si>
  <si>
    <t>LABORATORIO GLOBO LTDA</t>
  </si>
  <si>
    <t>MEDQUIMICA IND FARMACEUTICA S.</t>
  </si>
  <si>
    <t>LABORATORIO TEUTO BRASILEIRO S/A</t>
  </si>
  <si>
    <t>CCM IND E COM DE PROD DESCARTAVEIS S/A</t>
  </si>
  <si>
    <t>ALYNE - CIGEL DISTRIBUIDORA DE COSMETI</t>
  </si>
  <si>
    <t>LOLLY BABY PRODUTOS INFANTIS L</t>
  </si>
  <si>
    <t>COD_FORNECEDOR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</si>
</sst>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9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F6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wrapText="1"/>
    </xf>
    <xf numFmtId="0" fontId="0" fillId="3" borderId="0" xfId="0" applyFill="1"/>
    <xf numFmtId="164" fontId="0" fillId="0" borderId="0" xfId="0" applyNumberFormat="1"/>
    <xf numFmtId="164" fontId="0" fillId="3" borderId="0" xfId="0" applyNumberFormat="1" applyFill="1"/>
    <xf numFmtId="164" fontId="1" fillId="0" borderId="0" xfId="0" applyNumberFormat="1" applyFont="1"/>
    <xf numFmtId="165" fontId="0" fillId="0" borderId="0" xfId="0" applyNumberFormat="1"/>
    <xf numFmtId="165" fontId="0" fillId="3" borderId="0" xfId="0" applyNumberFormat="1" applyFill="1"/>
    <xf numFmtId="165" fontId="1" fillId="0" borderId="0" xfId="0" applyNumberFormat="1" applyFont="1"/>
    <xf numFmtId="165" fontId="0" fillId="4" borderId="0" xfId="0" applyNumberFormat="1" applyFill="1"/>
    <xf numFmtId="0" fontId="4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7B9E-562C-4C66-BF8F-D10A47131292}">
  <dimension ref="A1:E80"/>
  <sheetViews>
    <sheetView tabSelected="1" workbookViewId="0">
      <selection activeCell="I8" sqref="I8"/>
    </sheetView>
  </sheetViews>
  <sheetFormatPr defaultRowHeight="13.2" x14ac:dyDescent="0.25"/>
  <cols>
    <col min="1" max="1" width="11.44140625" bestFit="1" customWidth="1"/>
    <col min="2" max="2" width="18.77734375" bestFit="1" customWidth="1"/>
    <col min="3" max="3" width="73.77734375" bestFit="1" customWidth="1"/>
    <col min="4" max="4" width="8.33203125" bestFit="1" customWidth="1"/>
    <col min="5" max="5" width="12" bestFit="1" customWidth="1"/>
  </cols>
  <sheetData>
    <row r="1" spans="1:5" x14ac:dyDescent="0.25">
      <c r="A1" t="s">
        <v>60</v>
      </c>
      <c r="B1" t="s">
        <v>95</v>
      </c>
      <c r="C1" t="s">
        <v>55</v>
      </c>
      <c r="D1" t="s">
        <v>56</v>
      </c>
      <c r="E1" t="s">
        <v>57</v>
      </c>
    </row>
    <row r="2" spans="1:5" x14ac:dyDescent="0.25">
      <c r="A2" t="s">
        <v>58</v>
      </c>
      <c r="B2" t="s">
        <v>21</v>
      </c>
      <c r="C2" t="s">
        <v>21</v>
      </c>
      <c r="D2" t="s">
        <v>21</v>
      </c>
      <c r="E2">
        <v>262965.15999999997</v>
      </c>
    </row>
    <row r="3" spans="1:5" x14ac:dyDescent="0.25">
      <c r="A3">
        <v>9</v>
      </c>
      <c r="B3" t="s">
        <v>21</v>
      </c>
      <c r="C3" t="s">
        <v>21</v>
      </c>
      <c r="D3" t="s">
        <v>21</v>
      </c>
      <c r="E3">
        <v>161554.87</v>
      </c>
    </row>
    <row r="4" spans="1:5" x14ac:dyDescent="0.25">
      <c r="A4" t="s">
        <v>59</v>
      </c>
      <c r="B4" t="s">
        <v>21</v>
      </c>
      <c r="C4" t="s">
        <v>21</v>
      </c>
      <c r="D4" t="s">
        <v>21</v>
      </c>
      <c r="E4">
        <v>214551.2</v>
      </c>
    </row>
    <row r="5" spans="1:5" x14ac:dyDescent="0.25">
      <c r="A5">
        <v>3</v>
      </c>
      <c r="B5" t="s">
        <v>21</v>
      </c>
      <c r="C5" t="s">
        <v>21</v>
      </c>
      <c r="D5" t="s">
        <v>21</v>
      </c>
      <c r="E5">
        <v>106364.31</v>
      </c>
    </row>
    <row r="6" spans="1:5" x14ac:dyDescent="0.25">
      <c r="A6">
        <v>1</v>
      </c>
      <c r="B6" t="s">
        <v>21</v>
      </c>
      <c r="C6" t="s">
        <v>21</v>
      </c>
      <c r="D6" t="s">
        <v>21</v>
      </c>
      <c r="E6">
        <v>264945.43</v>
      </c>
    </row>
    <row r="7" spans="1:5" x14ac:dyDescent="0.25">
      <c r="A7">
        <v>7</v>
      </c>
      <c r="B7" t="s">
        <v>21</v>
      </c>
      <c r="C7" t="s">
        <v>21</v>
      </c>
      <c r="D7" t="s">
        <v>21</v>
      </c>
      <c r="E7">
        <v>158760.22</v>
      </c>
    </row>
    <row r="8" spans="1:5" x14ac:dyDescent="0.25">
      <c r="A8">
        <v>9</v>
      </c>
      <c r="B8">
        <v>796582</v>
      </c>
      <c r="C8" t="s">
        <v>61</v>
      </c>
      <c r="D8" t="s">
        <v>22</v>
      </c>
      <c r="E8">
        <v>156530.67000000001</v>
      </c>
    </row>
    <row r="9" spans="1:5" x14ac:dyDescent="0.25">
      <c r="A9" t="s">
        <v>59</v>
      </c>
      <c r="B9">
        <v>796144</v>
      </c>
      <c r="C9" t="s">
        <v>62</v>
      </c>
      <c r="D9" t="s">
        <v>22</v>
      </c>
      <c r="E9">
        <v>36796.400000000001</v>
      </c>
    </row>
    <row r="10" spans="1:5" x14ac:dyDescent="0.25">
      <c r="A10">
        <v>1</v>
      </c>
      <c r="B10">
        <v>796144</v>
      </c>
      <c r="C10" t="s">
        <v>62</v>
      </c>
      <c r="D10" t="s">
        <v>22</v>
      </c>
      <c r="E10">
        <v>314912.44</v>
      </c>
    </row>
    <row r="11" spans="1:5" x14ac:dyDescent="0.25">
      <c r="A11">
        <v>7</v>
      </c>
      <c r="B11">
        <v>796144</v>
      </c>
      <c r="C11" t="s">
        <v>62</v>
      </c>
      <c r="D11" t="s">
        <v>22</v>
      </c>
      <c r="E11">
        <v>91007.28</v>
      </c>
    </row>
    <row r="12" spans="1:5" x14ac:dyDescent="0.25">
      <c r="A12">
        <v>3</v>
      </c>
      <c r="B12">
        <v>795345</v>
      </c>
      <c r="C12" t="s">
        <v>63</v>
      </c>
      <c r="D12" t="s">
        <v>22</v>
      </c>
      <c r="E12">
        <v>61058.78</v>
      </c>
    </row>
    <row r="13" spans="1:5" x14ac:dyDescent="0.25">
      <c r="A13">
        <v>3</v>
      </c>
      <c r="B13">
        <v>794671</v>
      </c>
      <c r="C13" t="s">
        <v>64</v>
      </c>
      <c r="D13" t="s">
        <v>22</v>
      </c>
      <c r="E13">
        <v>143896.92000000001</v>
      </c>
    </row>
    <row r="14" spans="1:5" x14ac:dyDescent="0.25">
      <c r="A14" t="s">
        <v>58</v>
      </c>
      <c r="B14">
        <v>794468</v>
      </c>
      <c r="C14" t="s">
        <v>65</v>
      </c>
      <c r="D14" t="s">
        <v>4</v>
      </c>
      <c r="E14">
        <v>55956.94</v>
      </c>
    </row>
    <row r="15" spans="1:5" x14ac:dyDescent="0.25">
      <c r="A15" t="s">
        <v>59</v>
      </c>
      <c r="B15">
        <v>794468</v>
      </c>
      <c r="C15" t="s">
        <v>65</v>
      </c>
      <c r="D15" t="s">
        <v>4</v>
      </c>
      <c r="E15">
        <v>81581.899999999994</v>
      </c>
    </row>
    <row r="16" spans="1:5" x14ac:dyDescent="0.25">
      <c r="A16">
        <v>1</v>
      </c>
      <c r="B16">
        <v>794468</v>
      </c>
      <c r="C16" t="s">
        <v>65</v>
      </c>
      <c r="D16" t="s">
        <v>4</v>
      </c>
      <c r="E16">
        <v>247719.82</v>
      </c>
    </row>
    <row r="17" spans="1:5" x14ac:dyDescent="0.25">
      <c r="A17">
        <v>1</v>
      </c>
      <c r="B17">
        <v>794365</v>
      </c>
      <c r="C17" t="s">
        <v>66</v>
      </c>
      <c r="D17" t="s">
        <v>4</v>
      </c>
      <c r="E17">
        <v>144824.19</v>
      </c>
    </row>
    <row r="18" spans="1:5" x14ac:dyDescent="0.25">
      <c r="A18" t="s">
        <v>58</v>
      </c>
      <c r="B18">
        <v>794319</v>
      </c>
      <c r="C18" t="s">
        <v>67</v>
      </c>
      <c r="D18" t="s">
        <v>22</v>
      </c>
      <c r="E18">
        <v>96955.91</v>
      </c>
    </row>
    <row r="19" spans="1:5" x14ac:dyDescent="0.25">
      <c r="A19">
        <v>9</v>
      </c>
      <c r="B19">
        <v>794319</v>
      </c>
      <c r="C19" t="s">
        <v>67</v>
      </c>
      <c r="D19" t="s">
        <v>22</v>
      </c>
      <c r="E19">
        <v>75748.69</v>
      </c>
    </row>
    <row r="20" spans="1:5" x14ac:dyDescent="0.25">
      <c r="A20" t="s">
        <v>59</v>
      </c>
      <c r="B20">
        <v>794319</v>
      </c>
      <c r="C20" t="s">
        <v>67</v>
      </c>
      <c r="D20" t="s">
        <v>22</v>
      </c>
      <c r="E20">
        <v>91362.79</v>
      </c>
    </row>
    <row r="21" spans="1:5" x14ac:dyDescent="0.25">
      <c r="A21">
        <v>3</v>
      </c>
      <c r="B21">
        <v>794319</v>
      </c>
      <c r="C21" t="s">
        <v>67</v>
      </c>
      <c r="D21" t="s">
        <v>22</v>
      </c>
      <c r="E21">
        <v>303383.07</v>
      </c>
    </row>
    <row r="22" spans="1:5" x14ac:dyDescent="0.25">
      <c r="A22">
        <v>1</v>
      </c>
      <c r="B22">
        <v>794319</v>
      </c>
      <c r="C22" t="s">
        <v>67</v>
      </c>
      <c r="D22" t="s">
        <v>22</v>
      </c>
      <c r="E22">
        <v>43006.74</v>
      </c>
    </row>
    <row r="23" spans="1:5" x14ac:dyDescent="0.25">
      <c r="A23">
        <v>7</v>
      </c>
      <c r="B23">
        <v>794319</v>
      </c>
      <c r="C23" t="s">
        <v>67</v>
      </c>
      <c r="D23" t="s">
        <v>22</v>
      </c>
      <c r="E23">
        <v>49542.8</v>
      </c>
    </row>
    <row r="24" spans="1:5" x14ac:dyDescent="0.25">
      <c r="A24">
        <v>1</v>
      </c>
      <c r="B24">
        <v>794223</v>
      </c>
      <c r="C24" t="s">
        <v>68</v>
      </c>
      <c r="D24" t="s">
        <v>22</v>
      </c>
      <c r="E24">
        <v>127413.28</v>
      </c>
    </row>
    <row r="25" spans="1:5" x14ac:dyDescent="0.25">
      <c r="A25">
        <v>7</v>
      </c>
      <c r="B25">
        <v>794223</v>
      </c>
      <c r="C25" t="s">
        <v>68</v>
      </c>
      <c r="D25" t="s">
        <v>22</v>
      </c>
      <c r="E25">
        <v>52586.720000000001</v>
      </c>
    </row>
    <row r="26" spans="1:5" x14ac:dyDescent="0.25">
      <c r="A26">
        <v>3</v>
      </c>
      <c r="B26">
        <v>794029</v>
      </c>
      <c r="C26" t="s">
        <v>69</v>
      </c>
      <c r="D26" t="s">
        <v>22</v>
      </c>
      <c r="E26">
        <v>150000</v>
      </c>
    </row>
    <row r="27" spans="1:5" x14ac:dyDescent="0.25">
      <c r="A27">
        <v>1</v>
      </c>
      <c r="B27">
        <v>793718</v>
      </c>
      <c r="C27" t="s">
        <v>70</v>
      </c>
      <c r="D27" t="s">
        <v>4</v>
      </c>
      <c r="E27">
        <v>56477.83</v>
      </c>
    </row>
    <row r="28" spans="1:5" x14ac:dyDescent="0.25">
      <c r="A28">
        <v>9</v>
      </c>
      <c r="B28">
        <v>793186</v>
      </c>
      <c r="C28" t="s">
        <v>71</v>
      </c>
      <c r="D28" t="s">
        <v>4</v>
      </c>
      <c r="E28">
        <v>96194.21</v>
      </c>
    </row>
    <row r="29" spans="1:5" x14ac:dyDescent="0.25">
      <c r="A29">
        <v>1</v>
      </c>
      <c r="B29">
        <v>793186</v>
      </c>
      <c r="C29" t="s">
        <v>71</v>
      </c>
      <c r="D29" t="s">
        <v>4</v>
      </c>
      <c r="E29">
        <v>178381.06</v>
      </c>
    </row>
    <row r="30" spans="1:5" x14ac:dyDescent="0.25">
      <c r="A30">
        <v>7</v>
      </c>
      <c r="B30">
        <v>792205</v>
      </c>
      <c r="C30" t="s">
        <v>72</v>
      </c>
      <c r="D30" t="s">
        <v>22</v>
      </c>
      <c r="E30">
        <v>170000</v>
      </c>
    </row>
    <row r="31" spans="1:5" x14ac:dyDescent="0.25">
      <c r="A31">
        <v>1</v>
      </c>
      <c r="B31">
        <v>792141</v>
      </c>
      <c r="C31" t="s">
        <v>73</v>
      </c>
      <c r="D31" t="s">
        <v>22</v>
      </c>
      <c r="E31">
        <v>59581.05</v>
      </c>
    </row>
    <row r="32" spans="1:5" x14ac:dyDescent="0.25">
      <c r="A32" t="s">
        <v>58</v>
      </c>
      <c r="B32">
        <v>792121</v>
      </c>
      <c r="C32" t="s">
        <v>74</v>
      </c>
      <c r="D32" t="s">
        <v>22</v>
      </c>
      <c r="E32">
        <v>30267.7</v>
      </c>
    </row>
    <row r="33" spans="1:5" x14ac:dyDescent="0.25">
      <c r="A33">
        <v>3</v>
      </c>
      <c r="B33">
        <v>792121</v>
      </c>
      <c r="C33" t="s">
        <v>74</v>
      </c>
      <c r="D33" t="s">
        <v>22</v>
      </c>
      <c r="E33">
        <v>168341.6</v>
      </c>
    </row>
    <row r="34" spans="1:5" x14ac:dyDescent="0.25">
      <c r="A34">
        <v>3</v>
      </c>
      <c r="B34">
        <v>790595</v>
      </c>
      <c r="C34" t="s">
        <v>75</v>
      </c>
      <c r="D34" t="s">
        <v>22</v>
      </c>
      <c r="E34">
        <v>108774.54</v>
      </c>
    </row>
    <row r="35" spans="1:5" x14ac:dyDescent="0.25">
      <c r="A35">
        <v>1</v>
      </c>
      <c r="B35">
        <v>789662</v>
      </c>
      <c r="C35" t="s">
        <v>76</v>
      </c>
      <c r="D35" t="s">
        <v>4</v>
      </c>
      <c r="E35">
        <v>54321.599999999999</v>
      </c>
    </row>
    <row r="36" spans="1:5" x14ac:dyDescent="0.25">
      <c r="A36" t="s">
        <v>58</v>
      </c>
      <c r="B36">
        <v>789603</v>
      </c>
      <c r="C36" t="s">
        <v>77</v>
      </c>
      <c r="D36" t="s">
        <v>22</v>
      </c>
      <c r="E36">
        <v>523645.54</v>
      </c>
    </row>
    <row r="37" spans="1:5" x14ac:dyDescent="0.25">
      <c r="A37">
        <v>9</v>
      </c>
      <c r="B37">
        <v>789603</v>
      </c>
      <c r="C37" t="s">
        <v>77</v>
      </c>
      <c r="D37" t="s">
        <v>22</v>
      </c>
      <c r="E37">
        <v>518414.32</v>
      </c>
    </row>
    <row r="38" spans="1:5" x14ac:dyDescent="0.25">
      <c r="A38">
        <v>3</v>
      </c>
      <c r="B38">
        <v>789603</v>
      </c>
      <c r="C38" t="s">
        <v>77</v>
      </c>
      <c r="D38" t="s">
        <v>22</v>
      </c>
      <c r="E38">
        <v>1775515.34</v>
      </c>
    </row>
    <row r="39" spans="1:5" x14ac:dyDescent="0.25">
      <c r="A39">
        <v>7</v>
      </c>
      <c r="B39">
        <v>789603</v>
      </c>
      <c r="C39" t="s">
        <v>77</v>
      </c>
      <c r="D39" t="s">
        <v>22</v>
      </c>
      <c r="E39">
        <v>982424.81</v>
      </c>
    </row>
    <row r="40" spans="1:5" x14ac:dyDescent="0.25">
      <c r="A40" t="s">
        <v>58</v>
      </c>
      <c r="B40">
        <v>789525</v>
      </c>
      <c r="C40" t="s">
        <v>78</v>
      </c>
      <c r="D40" t="s">
        <v>4</v>
      </c>
      <c r="E40">
        <v>34480.879999999997</v>
      </c>
    </row>
    <row r="41" spans="1:5" x14ac:dyDescent="0.25">
      <c r="A41" t="s">
        <v>59</v>
      </c>
      <c r="B41">
        <v>789525</v>
      </c>
      <c r="C41" t="s">
        <v>78</v>
      </c>
      <c r="D41" t="s">
        <v>4</v>
      </c>
      <c r="E41">
        <v>47189.279999999999</v>
      </c>
    </row>
    <row r="42" spans="1:5" x14ac:dyDescent="0.25">
      <c r="A42">
        <v>1</v>
      </c>
      <c r="B42">
        <v>789525</v>
      </c>
      <c r="C42" t="s">
        <v>78</v>
      </c>
      <c r="D42" t="s">
        <v>4</v>
      </c>
      <c r="E42">
        <v>218329.83</v>
      </c>
    </row>
    <row r="43" spans="1:5" x14ac:dyDescent="0.25">
      <c r="A43" t="s">
        <v>58</v>
      </c>
      <c r="B43">
        <v>789429</v>
      </c>
      <c r="C43" t="s">
        <v>79</v>
      </c>
      <c r="D43" t="s">
        <v>4</v>
      </c>
      <c r="E43">
        <v>152883.57999999999</v>
      </c>
    </row>
    <row r="44" spans="1:5" x14ac:dyDescent="0.25">
      <c r="A44" t="s">
        <v>59</v>
      </c>
      <c r="B44">
        <v>789429</v>
      </c>
      <c r="C44" t="s">
        <v>79</v>
      </c>
      <c r="D44" t="s">
        <v>4</v>
      </c>
      <c r="E44">
        <v>298364.42</v>
      </c>
    </row>
    <row r="45" spans="1:5" x14ac:dyDescent="0.25">
      <c r="A45" t="s">
        <v>59</v>
      </c>
      <c r="B45">
        <v>789423</v>
      </c>
      <c r="C45" t="s">
        <v>80</v>
      </c>
      <c r="D45" t="s">
        <v>4</v>
      </c>
      <c r="E45">
        <v>38902.410000000003</v>
      </c>
    </row>
    <row r="46" spans="1:5" x14ac:dyDescent="0.25">
      <c r="A46">
        <v>1</v>
      </c>
      <c r="B46">
        <v>789423</v>
      </c>
      <c r="C46" t="s">
        <v>80</v>
      </c>
      <c r="D46" t="s">
        <v>4</v>
      </c>
      <c r="E46">
        <v>40503.57</v>
      </c>
    </row>
    <row r="47" spans="1:5" x14ac:dyDescent="0.25">
      <c r="A47">
        <v>1</v>
      </c>
      <c r="B47">
        <v>789228</v>
      </c>
      <c r="C47" t="s">
        <v>81</v>
      </c>
      <c r="D47" t="s">
        <v>4</v>
      </c>
      <c r="E47">
        <v>56170.04</v>
      </c>
    </row>
    <row r="48" spans="1:5" x14ac:dyDescent="0.25">
      <c r="A48">
        <v>3</v>
      </c>
      <c r="B48">
        <v>789112</v>
      </c>
      <c r="C48" t="s">
        <v>82</v>
      </c>
      <c r="D48" t="s">
        <v>22</v>
      </c>
      <c r="E48">
        <v>142727.95000000001</v>
      </c>
    </row>
    <row r="49" spans="1:5" x14ac:dyDescent="0.25">
      <c r="A49" t="s">
        <v>58</v>
      </c>
      <c r="B49">
        <v>139553</v>
      </c>
      <c r="C49" t="s">
        <v>83</v>
      </c>
      <c r="D49" t="s">
        <v>22</v>
      </c>
      <c r="E49">
        <v>32698.54</v>
      </c>
    </row>
    <row r="50" spans="1:5" x14ac:dyDescent="0.25">
      <c r="A50">
        <v>9</v>
      </c>
      <c r="B50">
        <v>139553</v>
      </c>
      <c r="C50" t="s">
        <v>83</v>
      </c>
      <c r="D50" t="s">
        <v>22</v>
      </c>
      <c r="E50">
        <v>60196.87</v>
      </c>
    </row>
    <row r="51" spans="1:5" x14ac:dyDescent="0.25">
      <c r="A51" t="s">
        <v>59</v>
      </c>
      <c r="B51">
        <v>139553</v>
      </c>
      <c r="C51" t="s">
        <v>83</v>
      </c>
      <c r="D51" t="s">
        <v>22</v>
      </c>
      <c r="E51">
        <v>40287.21</v>
      </c>
    </row>
    <row r="52" spans="1:5" x14ac:dyDescent="0.25">
      <c r="A52">
        <v>3</v>
      </c>
      <c r="B52">
        <v>139553</v>
      </c>
      <c r="C52" t="s">
        <v>83</v>
      </c>
      <c r="D52" t="s">
        <v>22</v>
      </c>
      <c r="E52">
        <v>108781.13</v>
      </c>
    </row>
    <row r="53" spans="1:5" x14ac:dyDescent="0.25">
      <c r="A53">
        <v>3</v>
      </c>
      <c r="B53">
        <v>77800</v>
      </c>
      <c r="C53" t="s">
        <v>84</v>
      </c>
      <c r="D53" t="s">
        <v>22</v>
      </c>
      <c r="E53">
        <v>60000</v>
      </c>
    </row>
    <row r="54" spans="1:5" x14ac:dyDescent="0.25">
      <c r="A54" t="s">
        <v>58</v>
      </c>
      <c r="B54">
        <v>47252</v>
      </c>
      <c r="C54" t="s">
        <v>85</v>
      </c>
      <c r="D54" t="s">
        <v>4</v>
      </c>
      <c r="E54">
        <v>130445.2</v>
      </c>
    </row>
    <row r="55" spans="1:5" x14ac:dyDescent="0.25">
      <c r="A55">
        <v>9</v>
      </c>
      <c r="B55">
        <v>47252</v>
      </c>
      <c r="C55" t="s">
        <v>85</v>
      </c>
      <c r="D55" t="s">
        <v>4</v>
      </c>
      <c r="E55">
        <v>87935.56</v>
      </c>
    </row>
    <row r="56" spans="1:5" x14ac:dyDescent="0.25">
      <c r="A56" t="s">
        <v>59</v>
      </c>
      <c r="B56">
        <v>47252</v>
      </c>
      <c r="C56" t="s">
        <v>85</v>
      </c>
      <c r="D56" t="s">
        <v>4</v>
      </c>
      <c r="E56">
        <v>227714.39</v>
      </c>
    </row>
    <row r="57" spans="1:5" x14ac:dyDescent="0.25">
      <c r="A57">
        <v>1</v>
      </c>
      <c r="B57">
        <v>47252</v>
      </c>
      <c r="C57" t="s">
        <v>85</v>
      </c>
      <c r="D57" t="s">
        <v>4</v>
      </c>
      <c r="E57">
        <v>1154531.6100000001</v>
      </c>
    </row>
    <row r="58" spans="1:5" x14ac:dyDescent="0.25">
      <c r="A58">
        <v>7</v>
      </c>
      <c r="B58">
        <v>47252</v>
      </c>
      <c r="C58" t="s">
        <v>85</v>
      </c>
      <c r="D58" t="s">
        <v>4</v>
      </c>
      <c r="E58">
        <v>99373.24</v>
      </c>
    </row>
    <row r="59" spans="1:5" x14ac:dyDescent="0.25">
      <c r="A59" t="s">
        <v>58</v>
      </c>
      <c r="B59">
        <v>33928</v>
      </c>
      <c r="C59" t="s">
        <v>86</v>
      </c>
      <c r="D59" t="s">
        <v>4</v>
      </c>
      <c r="E59">
        <v>70251.16</v>
      </c>
    </row>
    <row r="60" spans="1:5" x14ac:dyDescent="0.25">
      <c r="A60" t="s">
        <v>59</v>
      </c>
      <c r="B60">
        <v>33928</v>
      </c>
      <c r="C60" t="s">
        <v>86</v>
      </c>
      <c r="D60" t="s">
        <v>4</v>
      </c>
      <c r="E60">
        <v>102758.35</v>
      </c>
    </row>
    <row r="61" spans="1:5" x14ac:dyDescent="0.25">
      <c r="A61">
        <v>1</v>
      </c>
      <c r="B61">
        <v>33928</v>
      </c>
      <c r="C61" t="s">
        <v>86</v>
      </c>
      <c r="D61" t="s">
        <v>4</v>
      </c>
      <c r="E61">
        <v>372854.2</v>
      </c>
    </row>
    <row r="62" spans="1:5" x14ac:dyDescent="0.25">
      <c r="A62">
        <v>7</v>
      </c>
      <c r="B62">
        <v>33928</v>
      </c>
      <c r="C62" t="s">
        <v>86</v>
      </c>
      <c r="D62" t="s">
        <v>4</v>
      </c>
      <c r="E62">
        <v>32036.32</v>
      </c>
    </row>
    <row r="63" spans="1:5" x14ac:dyDescent="0.25">
      <c r="A63">
        <v>1</v>
      </c>
      <c r="B63">
        <v>33286</v>
      </c>
      <c r="C63" t="s">
        <v>87</v>
      </c>
      <c r="D63" t="s">
        <v>4</v>
      </c>
      <c r="E63">
        <v>39394.080000000002</v>
      </c>
    </row>
    <row r="64" spans="1:5" x14ac:dyDescent="0.25">
      <c r="A64">
        <v>1</v>
      </c>
      <c r="B64">
        <v>33057</v>
      </c>
      <c r="C64" t="s">
        <v>88</v>
      </c>
      <c r="D64" t="s">
        <v>4</v>
      </c>
      <c r="E64">
        <v>121907.01</v>
      </c>
    </row>
    <row r="65" spans="1:5" x14ac:dyDescent="0.25">
      <c r="A65">
        <v>1</v>
      </c>
      <c r="B65">
        <v>31305</v>
      </c>
      <c r="C65" t="s">
        <v>89</v>
      </c>
      <c r="D65" t="s">
        <v>4</v>
      </c>
      <c r="E65">
        <v>102384.21</v>
      </c>
    </row>
    <row r="66" spans="1:5" x14ac:dyDescent="0.25">
      <c r="A66" t="s">
        <v>58</v>
      </c>
      <c r="B66">
        <v>31267</v>
      </c>
      <c r="C66" t="s">
        <v>90</v>
      </c>
      <c r="D66" t="s">
        <v>4</v>
      </c>
      <c r="E66">
        <v>43732.59</v>
      </c>
    </row>
    <row r="67" spans="1:5" x14ac:dyDescent="0.25">
      <c r="A67">
        <v>9</v>
      </c>
      <c r="B67">
        <v>31267</v>
      </c>
      <c r="C67" t="s">
        <v>90</v>
      </c>
      <c r="D67" t="s">
        <v>4</v>
      </c>
      <c r="E67">
        <v>45767</v>
      </c>
    </row>
    <row r="68" spans="1:5" x14ac:dyDescent="0.25">
      <c r="A68" t="s">
        <v>59</v>
      </c>
      <c r="B68">
        <v>31267</v>
      </c>
      <c r="C68" t="s">
        <v>90</v>
      </c>
      <c r="D68" t="s">
        <v>4</v>
      </c>
      <c r="E68">
        <v>62300.62</v>
      </c>
    </row>
    <row r="69" spans="1:5" x14ac:dyDescent="0.25">
      <c r="A69">
        <v>1</v>
      </c>
      <c r="B69">
        <v>31267</v>
      </c>
      <c r="C69" t="s">
        <v>90</v>
      </c>
      <c r="D69" t="s">
        <v>4</v>
      </c>
      <c r="E69">
        <v>204354.47</v>
      </c>
    </row>
    <row r="70" spans="1:5" x14ac:dyDescent="0.25">
      <c r="A70">
        <v>7</v>
      </c>
      <c r="B70">
        <v>31267</v>
      </c>
      <c r="C70" t="s">
        <v>90</v>
      </c>
      <c r="D70" t="s">
        <v>4</v>
      </c>
      <c r="E70">
        <v>243845.31</v>
      </c>
    </row>
    <row r="71" spans="1:5" x14ac:dyDescent="0.25">
      <c r="A71" t="s">
        <v>58</v>
      </c>
      <c r="B71">
        <v>30791</v>
      </c>
      <c r="C71" t="s">
        <v>91</v>
      </c>
      <c r="D71" t="s">
        <v>4</v>
      </c>
      <c r="E71">
        <v>93781.94</v>
      </c>
    </row>
    <row r="72" spans="1:5" x14ac:dyDescent="0.25">
      <c r="A72" t="s">
        <v>59</v>
      </c>
      <c r="B72">
        <v>30791</v>
      </c>
      <c r="C72" t="s">
        <v>91</v>
      </c>
      <c r="D72" t="s">
        <v>4</v>
      </c>
      <c r="E72">
        <v>181941.91</v>
      </c>
    </row>
    <row r="73" spans="1:5" x14ac:dyDescent="0.25">
      <c r="A73">
        <v>1</v>
      </c>
      <c r="B73">
        <v>30791</v>
      </c>
      <c r="C73" t="s">
        <v>91</v>
      </c>
      <c r="D73" t="s">
        <v>4</v>
      </c>
      <c r="E73">
        <v>524276.15</v>
      </c>
    </row>
    <row r="74" spans="1:5" x14ac:dyDescent="0.25">
      <c r="A74" t="s">
        <v>58</v>
      </c>
      <c r="B74">
        <v>30307</v>
      </c>
      <c r="C74" t="s">
        <v>92</v>
      </c>
      <c r="D74" t="s">
        <v>22</v>
      </c>
      <c r="E74">
        <v>133833.89000000001</v>
      </c>
    </row>
    <row r="75" spans="1:5" x14ac:dyDescent="0.25">
      <c r="A75">
        <v>9</v>
      </c>
      <c r="B75">
        <v>30307</v>
      </c>
      <c r="C75" t="s">
        <v>92</v>
      </c>
      <c r="D75" t="s">
        <v>22</v>
      </c>
      <c r="E75">
        <v>212075.85</v>
      </c>
    </row>
    <row r="76" spans="1:5" x14ac:dyDescent="0.25">
      <c r="A76" t="s">
        <v>59</v>
      </c>
      <c r="B76">
        <v>30307</v>
      </c>
      <c r="C76" t="s">
        <v>92</v>
      </c>
      <c r="D76" t="s">
        <v>22</v>
      </c>
      <c r="E76">
        <v>186160.05</v>
      </c>
    </row>
    <row r="77" spans="1:5" x14ac:dyDescent="0.25">
      <c r="A77">
        <v>3</v>
      </c>
      <c r="B77">
        <v>30307</v>
      </c>
      <c r="C77" t="s">
        <v>92</v>
      </c>
      <c r="D77" t="s">
        <v>22</v>
      </c>
      <c r="E77">
        <v>1596170.86</v>
      </c>
    </row>
    <row r="78" spans="1:5" x14ac:dyDescent="0.25">
      <c r="A78">
        <v>7</v>
      </c>
      <c r="B78">
        <v>30307</v>
      </c>
      <c r="C78" t="s">
        <v>92</v>
      </c>
      <c r="D78" t="s">
        <v>22</v>
      </c>
      <c r="E78">
        <v>171759.35999999999</v>
      </c>
    </row>
    <row r="79" spans="1:5" x14ac:dyDescent="0.25">
      <c r="A79">
        <v>3</v>
      </c>
      <c r="B79">
        <v>30105</v>
      </c>
      <c r="C79" t="s">
        <v>93</v>
      </c>
      <c r="D79" t="s">
        <v>22</v>
      </c>
      <c r="E79">
        <v>80000</v>
      </c>
    </row>
    <row r="80" spans="1:5" x14ac:dyDescent="0.25">
      <c r="A80">
        <v>3</v>
      </c>
      <c r="B80">
        <v>30083</v>
      </c>
      <c r="C80" t="s">
        <v>94</v>
      </c>
      <c r="D80" t="s">
        <v>22</v>
      </c>
      <c r="E80">
        <v>131132.82999999999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3E28-BE88-41B2-8121-103351D0255A}">
  <dimension ref="A1:O41"/>
  <sheetViews>
    <sheetView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/>
    </sheetView>
  </sheetViews>
  <sheetFormatPr defaultRowHeight="13.2" x14ac:dyDescent="0.25"/>
  <cols>
    <col min="1" max="1" width="8.6640625" customWidth="1"/>
    <col min="2" max="2" width="48.6640625" customWidth="1"/>
    <col min="3" max="15" width="14.33203125" customWidth="1"/>
  </cols>
  <sheetData>
    <row r="1" spans="1:15" ht="17.399999999999999" x14ac:dyDescent="0.3">
      <c r="A1" s="2" t="s">
        <v>42</v>
      </c>
    </row>
    <row r="2" spans="1:15" x14ac:dyDescent="0.25">
      <c r="A2" s="3" t="s">
        <v>0</v>
      </c>
    </row>
    <row r="4" spans="1:15" ht="32.1" customHeight="1" x14ac:dyDescent="0.25">
      <c r="A4" s="4" t="s">
        <v>1</v>
      </c>
      <c r="B4" s="4" t="s">
        <v>2</v>
      </c>
      <c r="C4" s="4" t="s">
        <v>3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13" t="s">
        <v>49</v>
      </c>
      <c r="K4" s="13" t="s">
        <v>50</v>
      </c>
      <c r="L4" s="13" t="s">
        <v>51</v>
      </c>
      <c r="M4" s="13" t="s">
        <v>52</v>
      </c>
      <c r="N4" s="13" t="s">
        <v>53</v>
      </c>
      <c r="O4" s="13" t="s">
        <v>54</v>
      </c>
    </row>
    <row r="5" spans="1:15" x14ac:dyDescent="0.25">
      <c r="A5" t="s">
        <v>4</v>
      </c>
      <c r="B5" t="s">
        <v>5</v>
      </c>
      <c r="C5" s="6">
        <v>800000</v>
      </c>
      <c r="D5" s="9">
        <v>0.51448705259293404</v>
      </c>
      <c r="E5" s="9">
        <v>0</v>
      </c>
      <c r="F5" s="9">
        <v>0.1911756580163804</v>
      </c>
      <c r="G5" s="9">
        <v>0.29433728939068549</v>
      </c>
      <c r="H5" s="9">
        <v>0</v>
      </c>
      <c r="I5" s="9">
        <v>0</v>
      </c>
      <c r="J5" s="12">
        <v>0.65534518974499778</v>
      </c>
      <c r="K5" s="12">
        <v>0</v>
      </c>
      <c r="L5" s="12">
        <v>0.11722741924119701</v>
      </c>
      <c r="M5" s="12">
        <v>0.22742739101380527</v>
      </c>
      <c r="N5" s="12">
        <v>0</v>
      </c>
      <c r="O5" s="12">
        <v>0</v>
      </c>
    </row>
    <row r="6" spans="1:15" x14ac:dyDescent="0.25">
      <c r="A6" t="s">
        <v>4</v>
      </c>
      <c r="B6" t="s">
        <v>6</v>
      </c>
      <c r="C6" s="6">
        <v>600000</v>
      </c>
      <c r="D6" s="9">
        <v>0.20712895418844315</v>
      </c>
      <c r="E6" s="9">
        <v>0</v>
      </c>
      <c r="F6" s="9">
        <v>9.2079063242738318E-2</v>
      </c>
      <c r="G6" s="9">
        <v>0.10409916241532736</v>
      </c>
      <c r="H6" s="9">
        <v>0.49499889355415189</v>
      </c>
      <c r="I6" s="9">
        <v>0.10169392659933912</v>
      </c>
      <c r="J6" s="12">
        <v>0.34059079071167203</v>
      </c>
      <c r="K6" s="12">
        <v>0</v>
      </c>
      <c r="L6" s="12">
        <v>7.2887646131744185E-2</v>
      </c>
      <c r="M6" s="12">
        <v>0.103834372031293</v>
      </c>
      <c r="N6" s="12">
        <v>0.40640885829315765</v>
      </c>
      <c r="O6" s="12">
        <v>7.6278332832133214E-2</v>
      </c>
    </row>
    <row r="7" spans="1:15" x14ac:dyDescent="0.25">
      <c r="A7" t="s">
        <v>4</v>
      </c>
      <c r="B7" t="s">
        <v>7</v>
      </c>
      <c r="C7" s="6">
        <v>150000</v>
      </c>
      <c r="D7" s="9">
        <v>0.52969548632794061</v>
      </c>
      <c r="E7" s="9">
        <v>0</v>
      </c>
      <c r="F7" s="9">
        <v>0.12650017855410181</v>
      </c>
      <c r="G7" s="9">
        <v>0.17057544885329787</v>
      </c>
      <c r="H7" s="9">
        <v>6.8562294112287883E-2</v>
      </c>
      <c r="I7" s="9">
        <v>0.1046665921523718</v>
      </c>
      <c r="J7" s="12">
        <v>0.68256137253905114</v>
      </c>
      <c r="K7" s="12">
        <v>0</v>
      </c>
      <c r="L7" s="12">
        <v>7.8470698361053012E-2</v>
      </c>
      <c r="M7" s="12">
        <v>0.13333180998844013</v>
      </c>
      <c r="N7" s="12">
        <v>4.4113104679646825E-2</v>
      </c>
      <c r="O7" s="12">
        <v>6.1523014431809048E-2</v>
      </c>
    </row>
    <row r="8" spans="1:15" x14ac:dyDescent="0.25">
      <c r="A8" t="s">
        <v>4</v>
      </c>
      <c r="B8" t="s">
        <v>8</v>
      </c>
      <c r="C8" s="6">
        <v>200000</v>
      </c>
      <c r="D8" s="9">
        <v>0.44279291105994906</v>
      </c>
      <c r="E8" s="9">
        <v>0</v>
      </c>
      <c r="F8" s="9">
        <v>0.14846143350294494</v>
      </c>
      <c r="G8" s="9">
        <v>0.13276998739863405</v>
      </c>
      <c r="H8" s="9">
        <v>0.13339712324738681</v>
      </c>
      <c r="I8" s="9">
        <v>0.14257854479108506</v>
      </c>
      <c r="J8" s="12">
        <v>0.60953505184173407</v>
      </c>
      <c r="K8" s="12">
        <v>0</v>
      </c>
      <c r="L8" s="12">
        <v>9.8381314219689667E-2</v>
      </c>
      <c r="M8" s="12">
        <v>0.11086635184414727</v>
      </c>
      <c r="N8" s="12">
        <v>9.1687754911315172E-2</v>
      </c>
      <c r="O8" s="12">
        <v>8.9529527183113786E-2</v>
      </c>
    </row>
    <row r="9" spans="1:15" x14ac:dyDescent="0.25">
      <c r="A9" t="s">
        <v>4</v>
      </c>
      <c r="B9" t="s">
        <v>9</v>
      </c>
      <c r="C9" s="6">
        <v>80000</v>
      </c>
      <c r="D9" s="9">
        <v>0.33858824604827453</v>
      </c>
      <c r="E9" s="9">
        <v>0</v>
      </c>
      <c r="F9" s="9">
        <v>0.24743512990982094</v>
      </c>
      <c r="G9" s="9">
        <v>0.24776072889994863</v>
      </c>
      <c r="H9" s="9">
        <v>8.7559484590331638E-2</v>
      </c>
      <c r="I9" s="9">
        <v>7.8656410551624326E-2</v>
      </c>
      <c r="J9" s="12">
        <v>0.49242595882627932</v>
      </c>
      <c r="K9" s="12">
        <v>0</v>
      </c>
      <c r="L9" s="12">
        <v>0.1732332946086054</v>
      </c>
      <c r="M9" s="12">
        <v>0.21857644021666578</v>
      </c>
      <c r="N9" s="12">
        <v>6.3582720622865865E-2</v>
      </c>
      <c r="O9" s="12">
        <v>5.2181585725583603E-2</v>
      </c>
    </row>
    <row r="10" spans="1:15" x14ac:dyDescent="0.25">
      <c r="A10" t="s">
        <v>4</v>
      </c>
      <c r="B10" t="s">
        <v>10</v>
      </c>
      <c r="C10" s="6">
        <v>600000</v>
      </c>
      <c r="D10" s="9">
        <v>0.46560360741742779</v>
      </c>
      <c r="E10" s="9">
        <v>0</v>
      </c>
      <c r="F10" s="9">
        <v>0.18223418313504083</v>
      </c>
      <c r="G10" s="9">
        <v>0.21154005204206816</v>
      </c>
      <c r="H10" s="9">
        <v>8.0122248258438791E-2</v>
      </c>
      <c r="I10" s="9">
        <v>6.0499909147024307E-2</v>
      </c>
      <c r="J10" s="12">
        <v>0.62142367155634415</v>
      </c>
      <c r="K10" s="12">
        <v>0</v>
      </c>
      <c r="L10" s="12">
        <v>0.11708526542425786</v>
      </c>
      <c r="M10" s="12">
        <v>0.17126391993613385</v>
      </c>
      <c r="N10" s="12">
        <v>5.339387398782252E-2</v>
      </c>
      <c r="O10" s="12">
        <v>3.6833269095441386E-2</v>
      </c>
    </row>
    <row r="11" spans="1:15" x14ac:dyDescent="0.25">
      <c r="A11" t="s">
        <v>4</v>
      </c>
      <c r="B11" t="s">
        <v>11</v>
      </c>
      <c r="C11" s="6">
        <v>1700000</v>
      </c>
      <c r="D11" s="9">
        <v>0.52653470184508366</v>
      </c>
      <c r="E11" s="9">
        <v>0</v>
      </c>
      <c r="F11" s="9">
        <v>0.12358003715713343</v>
      </c>
      <c r="G11" s="9">
        <v>0.17120239218860211</v>
      </c>
      <c r="H11" s="9">
        <v>9.0766116149531131E-2</v>
      </c>
      <c r="I11" s="9">
        <v>8.7916752659649697E-2</v>
      </c>
      <c r="J11" s="12">
        <v>0.6791362425367824</v>
      </c>
      <c r="K11" s="12">
        <v>0</v>
      </c>
      <c r="L11" s="12">
        <v>7.6732469271921636E-2</v>
      </c>
      <c r="M11" s="12">
        <v>0.1339496410651273</v>
      </c>
      <c r="N11" s="12">
        <v>5.8454844529159916E-2</v>
      </c>
      <c r="O11" s="12">
        <v>5.1726802597008653E-2</v>
      </c>
    </row>
    <row r="12" spans="1:15" x14ac:dyDescent="0.25">
      <c r="A12" t="s">
        <v>4</v>
      </c>
      <c r="B12" t="s">
        <v>12</v>
      </c>
      <c r="C12" s="6">
        <v>87000</v>
      </c>
      <c r="D12" s="9">
        <v>0.50283310978956364</v>
      </c>
      <c r="E12" s="9">
        <v>0</v>
      </c>
      <c r="F12" s="9">
        <v>0.20439959731023033</v>
      </c>
      <c r="G12" s="9">
        <v>0.29276729290020614</v>
      </c>
      <c r="H12" s="9">
        <v>0</v>
      </c>
      <c r="I12" s="9">
        <v>0</v>
      </c>
      <c r="J12" s="12">
        <v>0.64563264724591685</v>
      </c>
      <c r="K12" s="12">
        <v>0</v>
      </c>
      <c r="L12" s="12">
        <v>0.12634050147556122</v>
      </c>
      <c r="M12" s="12">
        <v>0.22802685127852187</v>
      </c>
      <c r="N12" s="12">
        <v>0</v>
      </c>
      <c r="O12" s="12">
        <v>0</v>
      </c>
    </row>
    <row r="13" spans="1:15" x14ac:dyDescent="0.25">
      <c r="A13" t="s">
        <v>4</v>
      </c>
      <c r="B13" t="s">
        <v>13</v>
      </c>
      <c r="C13" s="6">
        <v>120000</v>
      </c>
      <c r="D13" s="9">
        <v>0.21333962858789959</v>
      </c>
      <c r="E13" s="9">
        <v>0</v>
      </c>
      <c r="F13" s="9">
        <v>0.14227425280748907</v>
      </c>
      <c r="G13" s="9">
        <v>0.33779480465869471</v>
      </c>
      <c r="H13" s="9">
        <v>0.12682239971486331</v>
      </c>
      <c r="I13" s="9">
        <v>0.17976891423105326</v>
      </c>
      <c r="J13" s="12">
        <v>0.33752975781574929</v>
      </c>
      <c r="K13" s="12">
        <v>0</v>
      </c>
      <c r="L13" s="12">
        <v>0.10835969922799327</v>
      </c>
      <c r="M13" s="12">
        <v>0.32418679134033401</v>
      </c>
      <c r="N13" s="12">
        <v>0.10018514903333707</v>
      </c>
      <c r="O13" s="12">
        <v>0.12973860258258629</v>
      </c>
    </row>
    <row r="14" spans="1:15" x14ac:dyDescent="0.25">
      <c r="A14" t="s">
        <v>4</v>
      </c>
      <c r="B14" t="s">
        <v>14</v>
      </c>
      <c r="C14" s="6">
        <v>451248</v>
      </c>
      <c r="D14" s="9">
        <v>0</v>
      </c>
      <c r="E14" s="9">
        <v>0</v>
      </c>
      <c r="F14" s="9">
        <v>0.39234700158373176</v>
      </c>
      <c r="G14" s="9">
        <v>0.60765299841626819</v>
      </c>
      <c r="H14" s="9">
        <v>0</v>
      </c>
      <c r="I14" s="9">
        <v>0</v>
      </c>
      <c r="J14" s="12">
        <v>0</v>
      </c>
      <c r="K14" s="12">
        <v>0</v>
      </c>
      <c r="L14" s="12">
        <v>0.33880168319066861</v>
      </c>
      <c r="M14" s="12">
        <v>0.66119831680933139</v>
      </c>
      <c r="N14" s="12">
        <v>0</v>
      </c>
      <c r="O14" s="12">
        <v>0</v>
      </c>
    </row>
    <row r="15" spans="1:15" x14ac:dyDescent="0.25">
      <c r="A15" t="s">
        <v>4</v>
      </c>
      <c r="B15" t="s">
        <v>15</v>
      </c>
      <c r="C15" s="6">
        <v>300000</v>
      </c>
      <c r="D15" s="9">
        <v>0.59369070336921836</v>
      </c>
      <c r="E15" s="9">
        <v>0</v>
      </c>
      <c r="F15" s="9">
        <v>0.194771140800472</v>
      </c>
      <c r="G15" s="9">
        <v>0.21153815583030952</v>
      </c>
      <c r="H15" s="9">
        <v>0</v>
      </c>
      <c r="I15" s="9">
        <v>0</v>
      </c>
      <c r="J15" s="12">
        <v>0.72776611448935136</v>
      </c>
      <c r="K15" s="12">
        <v>0</v>
      </c>
      <c r="L15" s="12">
        <v>0.11493627940290893</v>
      </c>
      <c r="M15" s="12">
        <v>0.15729760610773971</v>
      </c>
      <c r="N15" s="12">
        <v>0</v>
      </c>
      <c r="O15" s="12">
        <v>0</v>
      </c>
    </row>
    <row r="16" spans="1:15" x14ac:dyDescent="0.25">
      <c r="A16" t="s">
        <v>4</v>
      </c>
      <c r="B16" t="s">
        <v>16</v>
      </c>
      <c r="C16" s="6">
        <v>60000</v>
      </c>
      <c r="D16" s="9">
        <v>0.81356348451406091</v>
      </c>
      <c r="E16" s="9">
        <v>0</v>
      </c>
      <c r="F16" s="9">
        <v>0</v>
      </c>
      <c r="G16" s="9">
        <v>0</v>
      </c>
      <c r="H16" s="9">
        <v>0</v>
      </c>
      <c r="I16" s="9">
        <v>0.18643651548593904</v>
      </c>
      <c r="J16" s="12">
        <v>0.90535996287327036</v>
      </c>
      <c r="K16" s="12">
        <v>0</v>
      </c>
      <c r="L16" s="12">
        <v>0</v>
      </c>
      <c r="M16" s="12">
        <v>0</v>
      </c>
      <c r="N16" s="12">
        <v>0</v>
      </c>
      <c r="O16" s="12">
        <v>9.4640037126729595E-2</v>
      </c>
    </row>
    <row r="17" spans="1:15" x14ac:dyDescent="0.25">
      <c r="A17" t="s">
        <v>4</v>
      </c>
      <c r="B17" t="s">
        <v>17</v>
      </c>
      <c r="C17" s="6">
        <v>300000</v>
      </c>
      <c r="D17" s="9">
        <v>0.40612685841033153</v>
      </c>
      <c r="E17" s="9">
        <v>0</v>
      </c>
      <c r="F17" s="9">
        <v>6.5068102269030745E-2</v>
      </c>
      <c r="G17" s="9">
        <v>2.099112565063499E-2</v>
      </c>
      <c r="H17" s="9">
        <v>2.7696114407997015E-2</v>
      </c>
      <c r="I17" s="9">
        <v>0.48011779926200587</v>
      </c>
      <c r="J17" s="12">
        <v>0.59460352564974628</v>
      </c>
      <c r="K17" s="12">
        <v>0</v>
      </c>
      <c r="L17" s="12">
        <v>4.586008477661907E-2</v>
      </c>
      <c r="M17" s="12">
        <v>1.8642464025993722E-2</v>
      </c>
      <c r="N17" s="12">
        <v>2.0246570111149914E-2</v>
      </c>
      <c r="O17" s="12">
        <v>0.32064735543649109</v>
      </c>
    </row>
    <row r="18" spans="1:15" x14ac:dyDescent="0.25">
      <c r="A18" t="s">
        <v>4</v>
      </c>
      <c r="B18" t="s">
        <v>18</v>
      </c>
      <c r="C18" s="6">
        <v>80000</v>
      </c>
      <c r="D18" s="9">
        <v>0.55393500998303513</v>
      </c>
      <c r="E18" s="9">
        <v>0</v>
      </c>
      <c r="F18" s="9">
        <v>0.13876005103733421</v>
      </c>
      <c r="G18" s="9">
        <v>9.7565417621586312E-2</v>
      </c>
      <c r="H18" s="9">
        <v>0.20973952135804427</v>
      </c>
      <c r="I18" s="9">
        <v>0</v>
      </c>
      <c r="J18" s="12">
        <v>0.70597288891604426</v>
      </c>
      <c r="K18" s="12">
        <v>0</v>
      </c>
      <c r="L18" s="12">
        <v>8.5132346536382755E-2</v>
      </c>
      <c r="M18" s="12">
        <v>7.5427017246981379E-2</v>
      </c>
      <c r="N18" s="12">
        <v>0.13346774730059174</v>
      </c>
      <c r="O18" s="12">
        <v>0</v>
      </c>
    </row>
    <row r="19" spans="1:15" x14ac:dyDescent="0.25">
      <c r="A19" t="s">
        <v>4</v>
      </c>
      <c r="B19" t="s">
        <v>19</v>
      </c>
      <c r="C19" s="6">
        <v>200000</v>
      </c>
      <c r="D19" s="9">
        <v>0.58373992852302647</v>
      </c>
      <c r="E19" s="9">
        <v>0</v>
      </c>
      <c r="F19" s="9">
        <v>0.24046180779915768</v>
      </c>
      <c r="G19" s="9">
        <v>0.17579826367781587</v>
      </c>
      <c r="H19" s="9">
        <v>0</v>
      </c>
      <c r="I19" s="9">
        <v>0</v>
      </c>
      <c r="J19" s="12">
        <v>0.72412094420287143</v>
      </c>
      <c r="K19" s="12">
        <v>0</v>
      </c>
      <c r="L19" s="12">
        <v>0.14359481570242702</v>
      </c>
      <c r="M19" s="12">
        <v>0.13228424009470155</v>
      </c>
      <c r="N19" s="12">
        <v>0</v>
      </c>
      <c r="O19" s="12">
        <v>0</v>
      </c>
    </row>
    <row r="20" spans="1:15" x14ac:dyDescent="0.25">
      <c r="A20" t="s">
        <v>4</v>
      </c>
      <c r="B20" t="s">
        <v>20</v>
      </c>
      <c r="C20" s="6">
        <v>400000</v>
      </c>
      <c r="D20" s="9">
        <v>0.46918995289066023</v>
      </c>
      <c r="E20" s="9">
        <v>0</v>
      </c>
      <c r="F20" s="9">
        <v>0.22016129663958742</v>
      </c>
      <c r="G20" s="9">
        <v>0.25472990191650996</v>
      </c>
      <c r="H20" s="9">
        <v>5.5918848553242799E-2</v>
      </c>
      <c r="I20" s="9">
        <v>0</v>
      </c>
      <c r="J20" s="12">
        <v>0.6192995442173076</v>
      </c>
      <c r="K20" s="12">
        <v>0</v>
      </c>
      <c r="L20" s="12">
        <v>0.13989235308358958</v>
      </c>
      <c r="M20" s="12">
        <v>0.20395473963435859</v>
      </c>
      <c r="N20" s="12">
        <v>3.6853363064744217E-2</v>
      </c>
      <c r="O20" s="12">
        <v>0</v>
      </c>
    </row>
    <row r="21" spans="1:15" x14ac:dyDescent="0.25">
      <c r="A21" t="s">
        <v>4</v>
      </c>
      <c r="B21" t="s">
        <v>21</v>
      </c>
      <c r="C21" s="6">
        <v>271752</v>
      </c>
      <c r="D21" s="9">
        <v>0.45910572581056025</v>
      </c>
      <c r="E21" s="9">
        <v>1.2386640152155644E-5</v>
      </c>
      <c r="F21" s="9">
        <v>0.18858774651717744</v>
      </c>
      <c r="G21" s="9">
        <v>0.14736414122099051</v>
      </c>
      <c r="H21" s="9">
        <v>5.2595737654273861E-2</v>
      </c>
      <c r="I21" s="9">
        <v>0.15233426215684598</v>
      </c>
      <c r="J21" s="12">
        <v>0.62459659459468042</v>
      </c>
      <c r="K21" s="12">
        <v>1.654992236954416E-5</v>
      </c>
      <c r="L21" s="12">
        <v>0.1235097714983097</v>
      </c>
      <c r="M21" s="12">
        <v>0.1216131499739575</v>
      </c>
      <c r="N21" s="12">
        <v>3.5727637738599265E-2</v>
      </c>
      <c r="O21" s="12">
        <v>9.4536296272083514E-2</v>
      </c>
    </row>
    <row r="22" spans="1:15" x14ac:dyDescent="0.25">
      <c r="A22" s="5" t="s">
        <v>22</v>
      </c>
      <c r="B22" s="5" t="s">
        <v>23</v>
      </c>
      <c r="C22" s="7">
        <v>280000</v>
      </c>
      <c r="D22" s="10">
        <v>3.5502190292347295E-2</v>
      </c>
      <c r="E22" s="10">
        <v>0.25307867768013637</v>
      </c>
      <c r="F22" s="10">
        <v>0.1551975664831243</v>
      </c>
      <c r="G22" s="10">
        <v>0.15174796513989533</v>
      </c>
      <c r="H22" s="10">
        <v>0.10295272877267139</v>
      </c>
      <c r="I22" s="10">
        <v>0.30152087163182528</v>
      </c>
      <c r="J22" s="12">
        <v>5.5493175393689372E-2</v>
      </c>
      <c r="K22" s="12">
        <v>0.38850402513221977</v>
      </c>
      <c r="L22" s="12">
        <v>0.1167804865752354</v>
      </c>
      <c r="M22" s="12">
        <v>0.14388287999460056</v>
      </c>
      <c r="N22" s="12">
        <v>8.0350602928438333E-2</v>
      </c>
      <c r="O22" s="12">
        <v>0.21498882997581653</v>
      </c>
    </row>
    <row r="23" spans="1:15" x14ac:dyDescent="0.25">
      <c r="A23" s="5" t="s">
        <v>22</v>
      </c>
      <c r="B23" s="5" t="s">
        <v>24</v>
      </c>
      <c r="C23" s="7">
        <v>160000</v>
      </c>
      <c r="D23" s="10">
        <v>0</v>
      </c>
      <c r="E23" s="10">
        <v>0.69227543257471258</v>
      </c>
      <c r="F23" s="10">
        <v>0.1456859762125515</v>
      </c>
      <c r="G23" s="10">
        <v>3.1041031044302943E-2</v>
      </c>
      <c r="H23" s="10">
        <v>2.2019947672363795E-2</v>
      </c>
      <c r="I23" s="10">
        <v>0.10897761249606917</v>
      </c>
      <c r="J23" s="12">
        <v>0</v>
      </c>
      <c r="K23" s="12">
        <v>0.81958016653759258</v>
      </c>
      <c r="L23" s="12">
        <v>8.4542614833110749E-2</v>
      </c>
      <c r="M23" s="12">
        <v>2.2698383982399071E-2</v>
      </c>
      <c r="N23" s="12">
        <v>1.3253790905245422E-2</v>
      </c>
      <c r="O23" s="12">
        <v>5.9925043741652098E-2</v>
      </c>
    </row>
    <row r="24" spans="1:15" x14ac:dyDescent="0.25">
      <c r="A24" s="5" t="s">
        <v>22</v>
      </c>
      <c r="B24" s="5" t="s">
        <v>25</v>
      </c>
      <c r="C24" s="7">
        <v>80000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2">
        <v>0</v>
      </c>
      <c r="K24" s="12">
        <v>0.99999999999999978</v>
      </c>
      <c r="L24" s="12">
        <v>0</v>
      </c>
      <c r="M24" s="12">
        <v>0</v>
      </c>
      <c r="N24" s="12">
        <v>0</v>
      </c>
      <c r="O24" s="12">
        <v>0</v>
      </c>
    </row>
    <row r="25" spans="1:15" x14ac:dyDescent="0.25">
      <c r="A25" s="5" t="s">
        <v>22</v>
      </c>
      <c r="B25" s="5" t="s">
        <v>26</v>
      </c>
      <c r="C25" s="7">
        <v>2300000</v>
      </c>
      <c r="D25" s="10">
        <v>0</v>
      </c>
      <c r="E25" s="10">
        <v>0.53833024403897134</v>
      </c>
      <c r="F25" s="10">
        <v>9.2085256500867685E-2</v>
      </c>
      <c r="G25" s="10">
        <v>0.1016505186140305</v>
      </c>
      <c r="H25" s="10">
        <v>0.11394059754004029</v>
      </c>
      <c r="I25" s="10">
        <v>0.15399338330609005</v>
      </c>
      <c r="J25" s="12">
        <v>0</v>
      </c>
      <c r="K25" s="12">
        <v>0.69398733040772265</v>
      </c>
      <c r="L25" s="12">
        <v>5.8188648672198952E-2</v>
      </c>
      <c r="M25" s="12">
        <v>8.0939150319382855E-2</v>
      </c>
      <c r="N25" s="12">
        <v>7.4677980807700439E-2</v>
      </c>
      <c r="O25" s="12">
        <v>9.2206889792995003E-2</v>
      </c>
    </row>
    <row r="26" spans="1:15" x14ac:dyDescent="0.25">
      <c r="A26" s="5" t="s">
        <v>22</v>
      </c>
      <c r="B26" s="5" t="s">
        <v>27</v>
      </c>
      <c r="C26" s="7">
        <v>60000</v>
      </c>
      <c r="D26" s="10">
        <v>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2">
        <v>0</v>
      </c>
      <c r="K26" s="12">
        <v>0.99999999999999989</v>
      </c>
      <c r="L26" s="12">
        <v>0</v>
      </c>
      <c r="M26" s="12">
        <v>0</v>
      </c>
      <c r="N26" s="12">
        <v>0</v>
      </c>
      <c r="O26" s="12">
        <v>0</v>
      </c>
    </row>
    <row r="27" spans="1:15" x14ac:dyDescent="0.25">
      <c r="A27" s="5" t="s">
        <v>22</v>
      </c>
      <c r="B27" s="5" t="s">
        <v>28</v>
      </c>
      <c r="C27" s="7">
        <v>142727.94707729784</v>
      </c>
      <c r="D27" s="10">
        <v>0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2">
        <v>0</v>
      </c>
      <c r="K27" s="12">
        <v>1</v>
      </c>
      <c r="L27" s="12">
        <v>0</v>
      </c>
      <c r="M27" s="12">
        <v>0</v>
      </c>
      <c r="N27" s="12">
        <v>0</v>
      </c>
      <c r="O27" s="12">
        <v>0</v>
      </c>
    </row>
    <row r="28" spans="1:15" x14ac:dyDescent="0.25">
      <c r="A28" s="5" t="s">
        <v>22</v>
      </c>
      <c r="B28" s="5" t="s">
        <v>29</v>
      </c>
      <c r="C28" s="7">
        <v>3800000</v>
      </c>
      <c r="D28" s="10">
        <v>0</v>
      </c>
      <c r="E28" s="10">
        <v>0.30132746941706628</v>
      </c>
      <c r="F28" s="10">
        <v>0.18130354464889398</v>
      </c>
      <c r="G28" s="10">
        <v>0</v>
      </c>
      <c r="H28" s="10">
        <v>0.32794597470659764</v>
      </c>
      <c r="I28" s="10">
        <v>0.18942301122744185</v>
      </c>
      <c r="J28" s="12">
        <v>0</v>
      </c>
      <c r="K28" s="12">
        <v>0.46724087800790703</v>
      </c>
      <c r="L28" s="12">
        <v>0.1378014569207397</v>
      </c>
      <c r="M28" s="12">
        <v>0</v>
      </c>
      <c r="N28" s="12">
        <v>0.25853284381374209</v>
      </c>
      <c r="O28" s="12">
        <v>0.13642482125761118</v>
      </c>
    </row>
    <row r="29" spans="1:15" x14ac:dyDescent="0.25">
      <c r="A29" s="5" t="s">
        <v>22</v>
      </c>
      <c r="B29" s="5" t="s">
        <v>30</v>
      </c>
      <c r="C29" s="7">
        <v>115000</v>
      </c>
      <c r="D29" s="10">
        <v>0</v>
      </c>
      <c r="E29" s="10">
        <v>0.90229219745206846</v>
      </c>
      <c r="F29" s="10">
        <v>6.8314195790792495E-2</v>
      </c>
      <c r="G29" s="10">
        <v>2.9393606757139111E-2</v>
      </c>
      <c r="H29" s="10">
        <v>0</v>
      </c>
      <c r="I29" s="10">
        <v>0</v>
      </c>
      <c r="J29" s="12">
        <v>0</v>
      </c>
      <c r="K29" s="12">
        <v>0.94586558950632205</v>
      </c>
      <c r="L29" s="12">
        <v>3.5102543936276348E-2</v>
      </c>
      <c r="M29" s="12">
        <v>1.9031866557401501E-2</v>
      </c>
      <c r="N29" s="12">
        <v>0</v>
      </c>
      <c r="O29" s="12">
        <v>0</v>
      </c>
    </row>
    <row r="30" spans="1:15" x14ac:dyDescent="0.25">
      <c r="A30" s="5" t="s">
        <v>22</v>
      </c>
      <c r="B30" s="5" t="s">
        <v>31</v>
      </c>
      <c r="C30" s="7">
        <v>220000</v>
      </c>
      <c r="D30" s="10">
        <v>0</v>
      </c>
      <c r="E30" s="10">
        <v>0.60961290964578541</v>
      </c>
      <c r="F30" s="10">
        <v>0.22361285109405776</v>
      </c>
      <c r="G30" s="10">
        <v>0</v>
      </c>
      <c r="H30" s="10">
        <v>0</v>
      </c>
      <c r="I30" s="10">
        <v>0.1667742392601563</v>
      </c>
      <c r="J30" s="12">
        <v>0</v>
      </c>
      <c r="K30" s="12">
        <v>0.76518911245444909</v>
      </c>
      <c r="L30" s="12">
        <v>0.1375804712708146</v>
      </c>
      <c r="M30" s="12">
        <v>0</v>
      </c>
      <c r="N30" s="12">
        <v>0</v>
      </c>
      <c r="O30" s="12">
        <v>9.7230416274736275E-2</v>
      </c>
    </row>
    <row r="31" spans="1:15" x14ac:dyDescent="0.25">
      <c r="A31" s="5" t="s">
        <v>22</v>
      </c>
      <c r="B31" s="5" t="s">
        <v>32</v>
      </c>
      <c r="C31" s="7">
        <v>80000</v>
      </c>
      <c r="D31" s="10">
        <v>0.59833935144068773</v>
      </c>
      <c r="E31" s="10">
        <v>0</v>
      </c>
      <c r="F31" s="10">
        <v>0.12880859911956705</v>
      </c>
      <c r="G31" s="10">
        <v>0.12353638221047535</v>
      </c>
      <c r="H31" s="10">
        <v>0</v>
      </c>
      <c r="I31" s="10">
        <v>0.14931566722927017</v>
      </c>
      <c r="J31" s="12">
        <v>0.74476314325811355</v>
      </c>
      <c r="K31" s="12">
        <v>0</v>
      </c>
      <c r="L31" s="12">
        <v>7.7182068066944776E-2</v>
      </c>
      <c r="M31" s="12">
        <v>9.3275439860211806E-2</v>
      </c>
      <c r="N31" s="12">
        <v>0</v>
      </c>
      <c r="O31" s="12">
        <v>8.4779348814729941E-2</v>
      </c>
    </row>
    <row r="32" spans="1:15" x14ac:dyDescent="0.25">
      <c r="A32" s="5" t="s">
        <v>22</v>
      </c>
      <c r="B32" s="5" t="s">
        <v>33</v>
      </c>
      <c r="C32" s="7">
        <v>170000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0</v>
      </c>
      <c r="J32" s="12">
        <v>0</v>
      </c>
      <c r="K32" s="12">
        <v>0</v>
      </c>
      <c r="L32" s="12">
        <v>0</v>
      </c>
      <c r="M32" s="12">
        <v>0</v>
      </c>
      <c r="N32" s="12">
        <v>1</v>
      </c>
      <c r="O32" s="12">
        <v>0</v>
      </c>
    </row>
    <row r="33" spans="1:15" x14ac:dyDescent="0.25">
      <c r="A33" s="5" t="s">
        <v>22</v>
      </c>
      <c r="B33" s="5" t="s">
        <v>34</v>
      </c>
      <c r="C33" s="7">
        <v>150000</v>
      </c>
      <c r="D33" s="10">
        <v>0</v>
      </c>
      <c r="E33" s="10">
        <v>1</v>
      </c>
      <c r="F33" s="10">
        <v>0</v>
      </c>
      <c r="G33" s="10">
        <v>0</v>
      </c>
      <c r="H33" s="10">
        <v>0</v>
      </c>
      <c r="I33" s="10">
        <v>0</v>
      </c>
      <c r="J33" s="12">
        <v>0</v>
      </c>
      <c r="K33" s="12">
        <v>1</v>
      </c>
      <c r="L33" s="12">
        <v>0</v>
      </c>
      <c r="M33" s="12">
        <v>0</v>
      </c>
      <c r="N33" s="12">
        <v>0</v>
      </c>
      <c r="O33" s="12">
        <v>0</v>
      </c>
    </row>
    <row r="34" spans="1:15" x14ac:dyDescent="0.25">
      <c r="A34" s="5" t="s">
        <v>22</v>
      </c>
      <c r="B34" s="5" t="s">
        <v>35</v>
      </c>
      <c r="C34" s="7">
        <v>180000</v>
      </c>
      <c r="D34" s="10">
        <v>0.54746572294205342</v>
      </c>
      <c r="E34" s="10">
        <v>0</v>
      </c>
      <c r="F34" s="10">
        <v>0</v>
      </c>
      <c r="G34" s="10">
        <v>0</v>
      </c>
      <c r="H34" s="10">
        <v>0.45253427705794663</v>
      </c>
      <c r="I34" s="10">
        <v>0</v>
      </c>
      <c r="J34" s="12">
        <v>0.7078515514136694</v>
      </c>
      <c r="K34" s="12">
        <v>0</v>
      </c>
      <c r="L34" s="12">
        <v>0</v>
      </c>
      <c r="M34" s="12">
        <v>0</v>
      </c>
      <c r="N34" s="12">
        <v>0.2921484485863306</v>
      </c>
      <c r="O34" s="12">
        <v>0</v>
      </c>
    </row>
    <row r="35" spans="1:15" x14ac:dyDescent="0.25">
      <c r="A35" s="5" t="s">
        <v>22</v>
      </c>
      <c r="B35" s="5" t="s">
        <v>36</v>
      </c>
      <c r="C35" s="7">
        <v>660000</v>
      </c>
      <c r="D35" s="10">
        <v>4.4372416014813586E-2</v>
      </c>
      <c r="E35" s="10">
        <v>0.31872222549513307</v>
      </c>
      <c r="F35" s="10">
        <v>0.20780207424201533</v>
      </c>
      <c r="G35" s="10">
        <v>0.15539752047705691</v>
      </c>
      <c r="H35" s="10">
        <v>0.1023741253917146</v>
      </c>
      <c r="I35" s="10">
        <v>0.17133163837926652</v>
      </c>
      <c r="J35" s="12">
        <v>6.5161729232965038E-2</v>
      </c>
      <c r="K35" s="12">
        <v>0.45967132347329953</v>
      </c>
      <c r="L35" s="12">
        <v>0.14690289261880785</v>
      </c>
      <c r="M35" s="12">
        <v>0.13842847255909127</v>
      </c>
      <c r="N35" s="12">
        <v>7.5064842583527025E-2</v>
      </c>
      <c r="O35" s="12">
        <v>0.11477073953230905</v>
      </c>
    </row>
    <row r="36" spans="1:15" x14ac:dyDescent="0.25">
      <c r="A36" s="5" t="s">
        <v>22</v>
      </c>
      <c r="B36" s="5" t="s">
        <v>37</v>
      </c>
      <c r="C36" s="7">
        <v>220000</v>
      </c>
      <c r="D36" s="10">
        <v>0</v>
      </c>
      <c r="E36" s="10">
        <v>0.50038878325528635</v>
      </c>
      <c r="F36" s="10">
        <v>0.14795007448128808</v>
      </c>
      <c r="G36" s="10">
        <v>0.14332283282652353</v>
      </c>
      <c r="H36" s="10">
        <v>0.15545446225369355</v>
      </c>
      <c r="I36" s="10">
        <v>5.2883847183208488E-2</v>
      </c>
      <c r="J36" s="12">
        <v>0</v>
      </c>
      <c r="K36" s="12">
        <v>0.65407691645328547</v>
      </c>
      <c r="L36" s="12">
        <v>9.47942187619321E-2</v>
      </c>
      <c r="M36" s="12">
        <v>0.11571320425389799</v>
      </c>
      <c r="N36" s="12">
        <v>0.10330842985957395</v>
      </c>
      <c r="O36" s="12">
        <v>3.2107230671310501E-2</v>
      </c>
    </row>
    <row r="37" spans="1:15" x14ac:dyDescent="0.25">
      <c r="A37" s="5" t="s">
        <v>22</v>
      </c>
      <c r="B37" s="5" t="s">
        <v>38</v>
      </c>
      <c r="C37" s="7">
        <v>66700</v>
      </c>
      <c r="D37" s="10">
        <v>0</v>
      </c>
      <c r="E37" s="10">
        <v>0.814066250153197</v>
      </c>
      <c r="F37" s="10">
        <v>9.0147278708313391E-2</v>
      </c>
      <c r="G37" s="10">
        <v>1.5297060198710086E-2</v>
      </c>
      <c r="H37" s="10">
        <v>2.4381076286659802E-2</v>
      </c>
      <c r="I37" s="10">
        <v>1.9765142686668E-2</v>
      </c>
      <c r="J37" s="12">
        <v>0</v>
      </c>
      <c r="K37" s="12">
        <v>0.91542405335559029</v>
      </c>
      <c r="L37" s="12">
        <v>4.968903905609235E-2</v>
      </c>
      <c r="M37" s="12">
        <v>1.0624703651501607E-2</v>
      </c>
      <c r="N37" s="12">
        <v>1.3938843907121749E-2</v>
      </c>
      <c r="O37" s="12">
        <v>1.0323360029693803E-2</v>
      </c>
    </row>
    <row r="38" spans="1:15" x14ac:dyDescent="0.25">
      <c r="A38" s="5" t="s">
        <v>22</v>
      </c>
      <c r="B38" s="5" t="s">
        <v>39</v>
      </c>
      <c r="C38" s="7">
        <v>470000</v>
      </c>
      <c r="D38" s="10">
        <v>0.51245530345454693</v>
      </c>
      <c r="E38" s="10">
        <v>0</v>
      </c>
      <c r="F38" s="10">
        <v>9.2229822050924448E-2</v>
      </c>
      <c r="G38" s="10">
        <v>9.8711929358957964E-2</v>
      </c>
      <c r="H38" s="10">
        <v>0.29660294513557078</v>
      </c>
      <c r="I38" s="10">
        <v>0</v>
      </c>
      <c r="J38" s="12">
        <v>0.67002647366806656</v>
      </c>
      <c r="K38" s="12">
        <v>0</v>
      </c>
      <c r="L38" s="12">
        <v>5.8050810217464312E-2</v>
      </c>
      <c r="M38" s="12">
        <v>7.8290204611759492E-2</v>
      </c>
      <c r="N38" s="12">
        <v>0.19363251150270966</v>
      </c>
      <c r="O38" s="12">
        <v>0</v>
      </c>
    </row>
    <row r="39" spans="1:15" x14ac:dyDescent="0.25">
      <c r="A39" s="5" t="s">
        <v>22</v>
      </c>
      <c r="B39" s="5" t="s">
        <v>40</v>
      </c>
      <c r="C39" s="7">
        <v>173820</v>
      </c>
      <c r="D39" s="10">
        <v>0</v>
      </c>
      <c r="E39" s="10">
        <v>0</v>
      </c>
      <c r="F39" s="10">
        <v>0</v>
      </c>
      <c r="G39" s="10">
        <v>0</v>
      </c>
      <c r="H39" s="10">
        <v>9.1658947172348501E-2</v>
      </c>
      <c r="I39" s="10">
        <v>0.90834105282765154</v>
      </c>
      <c r="J39" s="12">
        <v>0</v>
      </c>
      <c r="K39" s="12">
        <v>0</v>
      </c>
      <c r="L39" s="12">
        <v>0</v>
      </c>
      <c r="M39" s="12">
        <v>0</v>
      </c>
      <c r="N39" s="12">
        <v>9.9466854786706402E-2</v>
      </c>
      <c r="O39" s="12">
        <v>0.90053314521329364</v>
      </c>
    </row>
    <row r="40" spans="1:15" x14ac:dyDescent="0.25">
      <c r="A40" s="5" t="s">
        <v>22</v>
      </c>
      <c r="B40" s="5" t="s">
        <v>21</v>
      </c>
      <c r="C40" s="7">
        <v>271752</v>
      </c>
      <c r="D40" s="10">
        <v>0.2234163895957065</v>
      </c>
      <c r="E40" s="10">
        <v>0.30369070504776186</v>
      </c>
      <c r="F40" s="10">
        <v>0.20750508859803177</v>
      </c>
      <c r="G40" s="10">
        <v>0.11313592228925172</v>
      </c>
      <c r="H40" s="10">
        <v>5.5765415009796732E-2</v>
      </c>
      <c r="I40" s="10">
        <v>9.6486479459451491E-2</v>
      </c>
      <c r="J40" s="12">
        <v>0.29317896932919807</v>
      </c>
      <c r="K40" s="12">
        <v>0.39138558059326323</v>
      </c>
      <c r="L40" s="12">
        <v>0.13108333436553757</v>
      </c>
      <c r="M40" s="12">
        <v>9.005754900883485E-2</v>
      </c>
      <c r="N40" s="12">
        <v>3.6538403869308747E-2</v>
      </c>
      <c r="O40" s="12">
        <v>5.7756162833857677E-2</v>
      </c>
    </row>
    <row r="41" spans="1:15" x14ac:dyDescent="0.25">
      <c r="A41" s="1"/>
      <c r="B41" s="1" t="s">
        <v>41</v>
      </c>
      <c r="C41" s="8">
        <f>SUM(C5:C40)</f>
        <v>15999999.947077299</v>
      </c>
      <c r="D41" s="11" t="e">
        <f t="shared" ref="D41:O41" si="0">SUMPRODUCT(D5:D40,$NC$5:$NC$40)/$NC$41</f>
        <v>#DIV/0!</v>
      </c>
      <c r="E41" s="11" t="e">
        <f t="shared" si="0"/>
        <v>#DIV/0!</v>
      </c>
      <c r="F41" s="11" t="e">
        <f t="shared" si="0"/>
        <v>#DIV/0!</v>
      </c>
      <c r="G41" s="11" t="e">
        <f t="shared" si="0"/>
        <v>#DIV/0!</v>
      </c>
      <c r="H41" s="11" t="e">
        <f t="shared" si="0"/>
        <v>#DIV/0!</v>
      </c>
      <c r="I41" s="11" t="e">
        <f t="shared" si="0"/>
        <v>#DIV/0!</v>
      </c>
      <c r="J41" s="11" t="e">
        <f t="shared" si="0"/>
        <v>#DIV/0!</v>
      </c>
      <c r="K41" s="11" t="e">
        <f t="shared" si="0"/>
        <v>#DIV/0!</v>
      </c>
      <c r="L41" s="11" t="e">
        <f t="shared" si="0"/>
        <v>#DIV/0!</v>
      </c>
      <c r="M41" s="11" t="e">
        <f t="shared" si="0"/>
        <v>#DIV/0!</v>
      </c>
      <c r="N41" s="11" t="e">
        <f t="shared" si="0"/>
        <v>#DIV/0!</v>
      </c>
      <c r="O41" s="11" t="e">
        <f t="shared" si="0"/>
        <v>#DIV/0!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Peso Original x Ajustado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Moraes Nascimento</dc:creator>
  <cp:lastModifiedBy>Christian Roque Matias</cp:lastModifiedBy>
  <dcterms:created xsi:type="dcterms:W3CDTF">2026-10-16T17:35:01Z</dcterms:created>
  <dcterms:modified xsi:type="dcterms:W3CDTF">2026-10-20T21:49:43Z</dcterms:modified>
</cp:coreProperties>
</file>